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488a81315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754a9c62df4eb0"/>
    <x:sheet xmlns:r="http://schemas.openxmlformats.org/officeDocument/2006/relationships" name="Test cases" sheetId="2" r:id="Rfb88e34a49974d7f"/>
    <x:sheet xmlns:r="http://schemas.openxmlformats.org/officeDocument/2006/relationships" name="Findings" sheetId="3" r:id="Rbf8146870745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sz val="11"/>
      <x:color rgb="FF182B35"/>
      <x:name val="Arial"/>
    </x:font>
    <x:font>
      <x:b/>
      <x:sz val="11"/>
      <x:color rgb="FFFFFFFF"/>
      <x:name val="Arial"/>
    </x:font>
    <x:font>
      <x:b/>
      <x:sz val="16"/>
      <x:color rgb="FF182B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4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50a4175cd4a9a" /><Relationship Type="http://schemas.openxmlformats.org/officeDocument/2006/relationships/theme" Target="/xl/theme/theme1.xml" Id="Re1d98ad22077451c" /><Relationship Type="http://schemas.openxmlformats.org/officeDocument/2006/relationships/sharedStrings" Target="/xl/sharedStrings.xml" Id="R21b6e375a9664896" /><Relationship Type="http://schemas.openxmlformats.org/officeDocument/2006/relationships/worksheet" Target="/xl/worksheets/sheet1.xml" Id="R9c754a9c62df4eb0" /><Relationship Type="http://schemas.openxmlformats.org/officeDocument/2006/relationships/worksheet" Target="/xl/worksheets/sheet2.xml" Id="Rfb88e34a49974d7f" /><Relationship Type="http://schemas.openxmlformats.org/officeDocument/2006/relationships/worksheet" Target="/xl/worksheets/sheet3.xml" Id="Rbf8146870745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4" hidden="0" customWidth="1"/>
  </x:cols>
  <x:sheetData>
    <x:row r="1" ht="28" customHeight="1">
      <x:c r="A1" s="10" t="str">
        <x:v>Iteration 2 QA results</x:v>
      </x:c>
      <x:c r="B1" s="3"/>
    </x:row>
    <x:row r="2" ht="28" customHeight="1">
      <x:c r="A2" s="3" t="str">
        <x:v>JazGot Tours, 18 September 2026</x:v>
      </x:c>
      <x:c r="B2" s="3"/>
    </x:row>
    <x:row r="3">
      <x:c r="A3" s="3"/>
      <x:c r="B3" s="3"/>
    </x:row>
    <x:row r="4" ht="28" customHeight="1">
      <x:c r="A4" s="5" t="str">
        <x:v>Metric</x:v>
      </x:c>
      <x:c r="B4" s="5" t="str">
        <x:v>Value</x:v>
      </x:c>
    </x:row>
    <x:row r="5">
      <x:c r="A5" s="3" t="str">
        <x:v>Planned cases</x:v>
      </x:c>
      <x:c r="B5" s="3" t="n">
        <x:v>18</x:v>
      </x:c>
    </x:row>
    <x:row r="6">
      <x:c r="A6" s="3" t="str">
        <x:v>Pass</x:v>
      </x:c>
      <x:c r="B6" s="3" t="n">
        <x:f>COUNTIF('Test cases'!G2:G19,"Pass")</x:f>
        <x:v>8</x:v>
      </x:c>
    </x:row>
    <x:row r="7">
      <x:c r="A7" s="3" t="str">
        <x:v>Fail</x:v>
      </x:c>
      <x:c r="B7" s="3" t="n">
        <x:f>COUNTIF('Test cases'!G2:G19,"Fail")</x:f>
        <x:v>9</x:v>
      </x:c>
    </x:row>
    <x:row r="8">
      <x:c r="A8" s="3" t="str">
        <x:v>Blocked</x:v>
      </x:c>
      <x:c r="B8" s="3" t="n">
        <x:f>COUNTIF('Test cases'!G2:G19,"Blocked")</x:f>
        <x:v>1</x:v>
      </x:c>
    </x:row>
    <x:row r="9">
      <x:c r="A9" s="3" t="str">
        <x:v>Executed (Pass + Fail)</x:v>
      </x:c>
      <x:c r="B9" s="3" t="n">
        <x:f>SUM(B6:B7)</x:f>
        <x:v>17</x:v>
      </x:c>
    </x:row>
    <x:row r="10">
      <x:c r="A10" s="3" t="str">
        <x:v>Pass / executed</x:v>
      </x:c>
      <x:c r="B10" s="9" t="n">
        <x:f>B6/B9</x:f>
        <x:v>0.47058823529411764</x:v>
      </x:c>
    </x:row>
    <x:row r="11">
      <x:c r="A11" s="3" t="str">
        <x:v>Pass / planned</x:v>
      </x:c>
      <x:c r="B11" s="9" t="n">
        <x:f>B6/B5</x:f>
        <x:v>0.4444444444444444</x:v>
      </x:c>
    </x:row>
    <x:row r="12">
      <x:c r="A12" s="3" t="str">
        <x:v>Executed / planned</x:v>
      </x:c>
      <x:c r="B12" s="9" t="n">
        <x:f>B9/B5</x:f>
        <x:v>0.9444444444444444</x:v>
      </x:c>
    </x:row>
    <x:row r="13">
      <x:c r="A13" s="3" t="str">
        <x:v>Accounted for</x:v>
      </x:c>
      <x:c r="B13" s="9" t="n">
        <x:f>SUM(B6:B8)/B5</x:f>
        <x:v>1</x:v>
      </x:c>
    </x:row>
    <x:row r="14">
      <x:c r="A14" s="3" t="str">
        <x:v>Exit pass-rate target</x:v>
      </x:c>
      <x:c r="B14" s="9" t="n">
        <x:v>0.95</x:v>
      </x:c>
    </x:row>
    <x:row r="15">
      <x:c r="A15" s="3" t="str">
        <x:v>Exit assessment</x:v>
      </x:c>
      <x:c r="B15" s="3" t="str">
        <x:v>NOT MET</x:v>
      </x:c>
    </x:row>
    <x:row r="16">
      <x:c r="A16" s="3" t="str">
        <x:v>Confirmed open defects</x:v>
      </x:c>
      <x:c r="B16" s="3" t="n">
        <x:f>COUNTIF(Findings!D2:D10,"Open")</x:f>
        <x:v>7</x:v>
      </x:c>
    </x:row>
    <x:row r="17">
      <x:c r="A17" s="3"/>
      <x:c r="B17" s="3"/>
    </x:row>
    <x:row r="18" ht="28" customHeight="1">
      <x:c r="A18" s="5" t="str">
        <x:v>Environment and limitations</x:v>
      </x:c>
      <x:c r="B18" s="5" t="str">
        <x:v>Detail</x:v>
      </x:c>
    </x:row>
    <x:row r="19" ht="42" customHeight="1">
      <x:c r="A19" s="3" t="str">
        <x:v>Build</x:v>
      </x:c>
      <x:c r="B19" s="3" t="str">
        <x:v>Production build passed after allowing Google Fonts network access.</x:v>
      </x:c>
    </x:row>
    <x:row r="20" ht="42" customHeight="1">
      <x:c r="A20" s="3" t="str">
        <x:v>Install</x:v>
      </x:c>
      <x:c r="B20" s="3" t="str">
        <x:v>Clean npm ci failed. Forced install used only to enable further testing.</x:v>
      </x:c>
    </x:row>
    <x:row r="21" ht="42" customHeight="1">
      <x:c r="A21" s="3" t="str">
        <x:v>TypeScript / lint</x:v>
      </x:c>
      <x:c r="B21" s="3" t="str">
        <x:v>TypeScript passed. Lint: 5 errors and 1 warning.</x:v>
      </x:c>
    </x:row>
    <x:row r="22" ht="42" customHeight="1">
      <x:c r="A22" s="3" t="str">
        <x:v>Browser</x:v>
      </x:c>
      <x:c r="B22" s="3" t="str">
        <x:v>Microsoft Edge 153.0.4234.32 (Chromium), Playwright, Windows x64.</x:v>
      </x:c>
    </x:row>
    <x:row r="23" ht="42" customHeight="1">
      <x:c r="A23" s="3" t="str">
        <x:v>PDF</x:v>
      </x:c>
      <x:c r="B23" s="3" t="str">
        <x:v>Export failed; no PDF content or visual verification possible.</x:v>
      </x:c>
    </x:row>
    <x:row r="24" ht="42" customHeight="1">
      <x:c r="A24" s="3" t="str">
        <x:v>Transaction scope</x:v>
      </x:c>
      <x:c r="B24" s="3" t="str">
        <x:v>Authentication and payment simulated. No real charge.</x:v>
      </x:c>
    </x:row>
    <x:row r="25" ht="42" customHeight="1">
      <x:c r="A25" s="3" t="str">
        <x:v>Requirements</x:v>
      </x:c>
      <x:c r="B25" s="3" t="str">
        <x:v>Inferred from deck and implementation; TC-017 record creation requires scope agreement.</x:v>
      </x:c>
    </x:row>
    <x:row r="26" ht="42" customHeight="1">
      <x:c r="A26" s="3" t="str">
        <x:v>Use-case mapping</x:v>
      </x:c>
      <x:c r="B26" s="3" t="str">
        <x:v>UC-001 booking; UC-002 checkout/invoice; UC-003 continuity; UC-004 admin.</x:v>
      </x:c>
    </x:row>
    <x:row r="27" ht="42" customHeight="1">
      <x:c r="A27" s="3" t="str">
        <x:v>Source evidence</x:v>
      </x:c>
      <x:c r="B27" s="3" t="str">
        <x:v>test/iteration-2/evidence/results.json, screenshots, logs and browser-trace.zip</x:v>
      </x:c>
    </x:row>
    <x:row r="28" ht="42" customHeight="1">
      <x:c r="A28" s="3" t="str">
        <x:v>Finding policy</x:v>
      </x:c>
      <x:c r="B28" s="3" t="str">
        <x:v>7 confirmed open defects, 1 scope clarification (UC-004-SCOPE-001), 1 observation (OBS-001).</x:v>
      </x:c>
    </x:row>
    <x:row r="29" ht="42" customHeight="1">
      <x:c r="A29" s="3" t="str">
        <x:v>External reference</x:v>
      </x:c>
      <x:c r="B29" s="3" t="str">
        <x:v>https://react.dev/errors/418 explains the observed hydration error.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8" hidden="0" customWidth="1"/>
    <x:col min="4" max="4" width="12" hidden="0" customWidth="1"/>
    <x:col min="5" max="5" width="48" hidden="0" customWidth="1"/>
    <x:col min="6" max="6" width="44" hidden="0" customWidth="1"/>
    <x:col min="7" max="7" width="13" hidden="0" customWidth="1"/>
    <x:col min="8" max="8" width="68" hidden="0" customWidth="1"/>
    <x:col min="9" max="9" width="44" hidden="0" customWidth="1"/>
  </x:cols>
  <x:sheetData>
    <x:row r="1" ht="28" customHeight="1">
      <x:c r="A1" s="5" t="str">
        <x:v>ID</x:v>
      </x:c>
      <x:c r="B1" s="5" t="str">
        <x:v>Test case</x:v>
      </x:c>
      <x:c r="C1" s="5" t="str">
        <x:v>Type</x:v>
      </x:c>
      <x:c r="D1" s="5" t="str">
        <x:v>Use case</x:v>
      </x:c>
      <x:c r="E1" s="5" t="str">
        <x:v>Steps</x:v>
      </x:c>
      <x:c r="F1" s="5" t="str">
        <x:v>Expected</x:v>
      </x:c>
      <x:c r="G1" s="5" t="str">
        <x:v>Status</x:v>
      </x:c>
      <x:c r="H1" s="5" t="str">
        <x:v>Actual result</x:v>
      </x:c>
      <x:c r="I1" s="5" t="str">
        <x:v>Evidence</x:v>
      </x:c>
    </x:row>
    <x:row r="2" ht="60" customHeight="1">
      <x:c r="A2" s="3" t="str">
        <x:v>TC-001</x:v>
      </x:c>
      <x:c r="B2" s="3" t="str">
        <x:v>Browse tour packages</x:v>
      </x:c>
      <x:c r="C2" s="3" t="str">
        <x:v>Regression</x:v>
      </x:c>
      <x:c r="D2" s="3" t="str">
        <x:v>UC-001</x:v>
      </x:c>
      <x:c r="E2" s="3" t="str">
        <x:v>Open home and inspect tour cards.</x:v>
      </x:c>
      <x:c r="F2" s="3" t="str">
        <x:v>Tour A, Tour B and Tour C are visible.</x:v>
      </x:c>
      <x:c r="G2" s="3" t="str">
        <x:v>Pass</x:v>
      </x:c>
      <x:c r="H2" s="3" t="str">
        <x:v>Home page displayed three tour cards.</x:v>
      </x:c>
      <x:c r="I2" s="3" t="str">
        <x:v>TC-001.png</x:v>
      </x:c>
    </x:row>
    <x:row r="3" ht="60" customHeight="1">
      <x:c r="A3" s="3" t="str">
        <x:v>TC-002</x:v>
      </x:c>
      <x:c r="B3" s="3" t="str">
        <x:v>Sign-in prompt before booking</x:v>
      </x:c>
      <x:c r="C3" s="3" t="str">
        <x:v>Regression</x:v>
      </x:c>
      <x:c r="D3" s="3" t="str">
        <x:v>UC-001</x:v>
      </x:c>
      <x:c r="E3" s="3" t="str">
        <x:v>Click Tour A while logged out.</x:v>
      </x:c>
      <x:c r="F3" s="3" t="str">
        <x:v>Authentication modal opens.</x:v>
      </x:c>
      <x:c r="G3" s="3" t="str">
        <x:v>Pass</x:v>
      </x:c>
      <x:c r="H3" s="3" t="str">
        <x:v>Clicking Tour A opened the sign-in modal.</x:v>
      </x:c>
      <x:c r="I3" s="3" t="str">
        <x:v>TC-002.png</x:v>
      </x:c>
    </x:row>
    <x:row r="4" ht="60" customHeight="1">
      <x:c r="A4" s="3" t="str">
        <x:v>TC-003</x:v>
      </x:c>
      <x:c r="B4" s="3" t="str">
        <x:v>Simulated account creation</x:v>
      </x:c>
      <x:c r="C4" s="3" t="str">
        <x:v>Regression</x:v>
      </x:c>
      <x:c r="D4" s="3" t="str">
        <x:v>UC-001</x:v>
      </x:c>
      <x:c r="E4" s="3" t="str">
        <x:v>Switch to signup, enter QA name/email/password, submit.</x:v>
      </x:c>
      <x:c r="F4" s="3" t="str">
        <x:v>Booking modal opens.</x:v>
      </x:c>
      <x:c r="G4" s="3" t="str">
        <x:v>Pass</x:v>
      </x:c>
      <x:c r="H4" s="3" t="str">
        <x:v>Simulated signup opened the booking form.</x:v>
      </x:c>
      <x:c r="I4" s="3" t="str">
        <x:v>TC-003.png</x:v>
      </x:c>
    </x:row>
    <x:row r="5" ht="60" customHeight="1">
      <x:c r="A5" s="3" t="str">
        <x:v>TC-004</x:v>
      </x:c>
      <x:c r="B5" s="3" t="str">
        <x:v>Submit selected booking</x:v>
      </x:c>
      <x:c r="C5" s="3" t="str">
        <x:v>Regression</x:v>
      </x:c>
      <x:c r="D5" s="3" t="str">
        <x:v>UC-001</x:v>
      </x:c>
      <x:c r="E5" s="3" t="str">
        <x:v>Submit the future-dated booking.</x:v>
      </x:c>
      <x:c r="F5" s="3" t="str">
        <x:v>Navigate to checkout.</x:v>
      </x:c>
      <x:c r="G5" s="3" t="str">
        <x:v>Pass</x:v>
      </x:c>
      <x:c r="H5" s="3" t="str">
        <x:v>Booking for 2026-09-27 redirected to checkout.</x:v>
      </x:c>
      <x:c r="I5" s="3" t="str">
        <x:v>TC-004.png</x:v>
      </x:c>
    </x:row>
    <x:row r="6" ht="60" customHeight="1">
      <x:c r="A6" s="3" t="str">
        <x:v>TC-005</x:v>
      </x:c>
      <x:c r="B6" s="3" t="str">
        <x:v>Calculate booking total</x:v>
      </x:c>
      <x:c r="C6" s="3" t="str">
        <x:v>Regression</x:v>
      </x:c>
      <x:c r="D6" s="3" t="str">
        <x:v>UC-001</x:v>
      </x:c>
      <x:c r="E6" s="3" t="str">
        <x:v>Set two guests and enable both add-ons.</x:v>
      </x:c>
      <x:c r="F6" s="3" t="str">
        <x:v>Total equals PHP 3,900.</x:v>
      </x:c>
      <x:c r="G6" s="3" t="str">
        <x:v>Pass</x:v>
      </x:c>
      <x:c r="H6" s="3" t="str">
        <x:v>Two guests plus ETDF and lagoon add-ons displayed PHP 3,900.</x:v>
      </x:c>
      <x:c r="I6" s="3" t="str">
        <x:v>TC-005.png</x:v>
      </x:c>
    </x:row>
    <x:row r="7" ht="60" customHeight="1">
      <x:c r="A7" s="3" t="str">
        <x:v>TC-006</x:v>
      </x:c>
      <x:c r="B7" s="3" t="str">
        <x:v>Simulated checkout payment</x:v>
      </x:c>
      <x:c r="C7" s="3" t="str">
        <x:v>Regression</x:v>
      </x:c>
      <x:c r="D7" s="3" t="str">
        <x:v>UC-002</x:v>
      </x:c>
      <x:c r="E7" s="3" t="str">
        <x:v>Fill normal-format card details and click Pay.</x:v>
      </x:c>
      <x:c r="F7" s="3" t="str">
        <x:v>Processing and success notifications, then dashboard.</x:v>
      </x:c>
      <x:c r="G7" s="3" t="str">
        <x:v>Pass</x:v>
      </x:c>
      <x:c r="H7" s="3" t="str">
        <x:v>Simulated processing redirected to dashboard. No real payment was attempted.</x:v>
      </x:c>
      <x:c r="I7" s="3" t="str">
        <x:v>TC-006.png</x:v>
      </x:c>
    </x:row>
    <x:row r="8" ht="60" customHeight="1">
      <x:c r="A8" s="3" t="str">
        <x:v>TC-007</x:v>
      </x:c>
      <x:c r="B8" s="3" t="str">
        <x:v>Display booking and invoice</x:v>
      </x:c>
      <x:c r="C8" s="3" t="str">
        <x:v>Regression</x:v>
      </x:c>
      <x:c r="D8" s="3" t="str">
        <x:v>UC-002</x:v>
      </x:c>
      <x:c r="E8" s="3" t="str">
        <x:v>Inspect dashboard status and invoice.</x:v>
      </x:c>
      <x:c r="F8" s="3" t="str">
        <x:v>Confirmed status, reference, guest details and itinerary appear.</x:v>
      </x:c>
      <x:c r="G8" s="3" t="str">
        <x:v>Pass</x:v>
      </x:c>
      <x:c r="H8" s="3" t="str">
        <x:v>Dashboard displays confirmed status, reference and sample invoice details; this legacy case checks presence only.</x:v>
      </x:c>
      <x:c r="I8" s="3" t="str">
        <x:v>TC-007.png</x:v>
      </x:c>
    </x:row>
    <x:row r="9" ht="60" customHeight="1">
      <x:c r="A9" s="3" t="str">
        <x:v>TC-008R</x:v>
      </x:c>
      <x:c r="B9" s="3" t="str">
        <x:v>Download and open invoice PDF</x:v>
      </x:c>
      <x:c r="C9" s="3" t="str">
        <x:v>Retest</x:v>
      </x:c>
      <x:c r="D9" s="3" t="str">
        <x:v>UC-002</x:v>
      </x:c>
      <x:c r="E9" s="3" t="str">
        <x:v>Click Download PDF Invoice and wait for file.</x:v>
      </x:c>
      <x:c r="F9" s="3" t="str">
        <x:v>A readable PDF downloads.</x:v>
      </x:c>
      <x:c r="G9" s="3" t="str">
        <x:v>Fail</x:v>
      </x:c>
      <x:c r="H9" s="3" t="str">
        <x:v>No PDF downloaded. PDF Generation Error: Error: Attempting to parse an unsupported color function "lab"</x:v>
      </x:c>
      <x:c r="I9" s="3" t="str">
        <x:v>TC-008R.png</x:v>
      </x:c>
    </x:row>
    <x:row r="10" ht="60" customHeight="1">
      <x:c r="A10" s="3" t="str">
        <x:v>TC-009</x:v>
      </x:c>
      <x:c r="B10" s="3" t="str">
        <x:v>PDF contents match displayed invoice</x:v>
      </x:c>
      <x:c r="C10" s="3" t="str">
        <x:v>New functional</x:v>
      </x:c>
      <x:c r="D10" s="3" t="str">
        <x:v>UC-002</x:v>
      </x:c>
      <x:c r="E10" s="3" t="str">
        <x:v>Open downloaded PDF and compare fields.</x:v>
      </x:c>
      <x:c r="F10" s="3" t="str">
        <x:v>PDF contents match the on-screen invoice.</x:v>
      </x:c>
      <x:c r="G10" s="3" t="str">
        <x:v>Blocked</x:v>
      </x:c>
      <x:c r="H10" s="3" t="str">
        <x:v>TC-008R produced no PDF, so content comparison could not execute.</x:v>
      </x:c>
      <x:c r="I10" s="3" t="str">
        <x:v>TC-008R.png</x:v>
      </x:c>
    </x:row>
    <x:row r="11" ht="60" customHeight="1">
      <x:c r="A11" s="3" t="str">
        <x:v>TC-010</x:v>
      </x:c>
      <x:c r="B11" s="3" t="str">
        <x:v>Booking details reach checkout</x:v>
      </x:c>
      <x:c r="C11" s="3" t="str">
        <x:v>New functional</x:v>
      </x:c>
      <x:c r="D11" s="3" t="str">
        <x:v>UC-003</x:v>
      </x:c>
      <x:c r="E11" s="3" t="str">
        <x:v>Compare checkout with the preceding two-guest booking.</x:v>
      </x:c>
      <x:c r="F11" s="3" t="str">
        <x:v>Guest count, date and contact match entered data.</x:v>
      </x:c>
      <x:c r="G11" s="3" t="str">
        <x:v>Fail</x:v>
      </x:c>
      <x:c r="H11" s="3" t="str">
        <x:v>Checkout shows 1 Pax and Pending Confirmation; entered 2 guests, 2026-09-27, +639123456789. Contact is absent.</x:v>
      </x:c>
      <x:c r="I11" s="3" t="str">
        <x:v>TC-010.png</x:v>
      </x:c>
    </x:row>
    <x:row r="12" ht="60" customHeight="1">
      <x:c r="A12" s="3" t="str">
        <x:v>TC-011</x:v>
      </x:c>
      <x:c r="B12" s="3" t="str">
        <x:v>Checkout total preserves add-ons</x:v>
      </x:c>
      <x:c r="C12" s="3" t="str">
        <x:v>New functional</x:v>
      </x:c>
      <x:c r="D12" s="3" t="str">
        <x:v>UC-003</x:v>
      </x:c>
      <x:c r="E12" s="3" t="str">
        <x:v>Compare checkout total against PHP 3,900 booking.</x:v>
      </x:c>
      <x:c r="F12" s="3" t="str">
        <x:v>Checkout total is PHP 3,900.</x:v>
      </x:c>
      <x:c r="G12" s="3" t="str">
        <x:v>Fail</x:v>
      </x:c>
      <x:c r="H12" s="3" t="str">
        <x:v>Checkout and Pay button show PHP 1,350, while booked total was PHP 3,900.</x:v>
      </x:c>
      <x:c r="I12" s="3" t="str">
        <x:v>TC-011.png</x:v>
      </x:c>
    </x:row>
    <x:row r="13" ht="60" customHeight="1">
      <x:c r="A13" s="3" t="str">
        <x:v>TC-012</x:v>
      </x:c>
      <x:c r="B13" s="3" t="str">
        <x:v>Dashboard matches actual booking</x:v>
      </x:c>
      <x:c r="C13" s="3" t="str">
        <x:v>New functional</x:v>
      </x:c>
      <x:c r="D13" s="3" t="str">
        <x:v>UC-003</x:v>
      </x:c>
      <x:c r="E13" s="3" t="str">
        <x:v>Compare dashboard with entered booking.</x:v>
      </x:c>
      <x:c r="F13" s="3" t="str">
        <x:v>Name, contact, guest count, date and total match.</x:v>
      </x:c>
      <x:c r="G13" s="3" t="str">
        <x:v>Fail</x:v>
      </x:c>
      <x:c r="H13" s="3" t="str">
        <x:v>Dashboard shows Juan Dela Cruz, 1 Guest, Pending Confirmation and PHP 1,350 instead of the QA booking.</x:v>
      </x:c>
      <x:c r="I13" s="3" t="str">
        <x:v>TC-012.png</x:v>
      </x:c>
    </x:row>
    <x:row r="14" ht="60" customHeight="1">
      <x:c r="A14" s="3" t="str">
        <x:v>TC-013</x:v>
      </x:c>
      <x:c r="B14" s="3" t="str">
        <x:v>Reject empty card fields</x:v>
      </x:c>
      <x:c r="C14" s="3" t="str">
        <x:v>Negative</x:v>
      </x:c>
      <x:c r="D14" s="3" t="str">
        <x:v>UC-002</x:v>
      </x:c>
      <x:c r="E14" s="3" t="str">
        <x:v>Open checkout and click Pay with all card fields empty.</x:v>
      </x:c>
      <x:c r="F14" s="3" t="str">
        <x:v>Stay on checkout with required-field validation.</x:v>
      </x:c>
      <x:c r="G14" s="3" t="str">
        <x:v>Pass</x:v>
      </x:c>
      <x:c r="H14" s="3" t="str">
        <x:v>Browser rejected submission: four required fields invalid; stayed on checkout.</x:v>
      </x:c>
      <x:c r="I14" s="3" t="str">
        <x:v>TC-013.png</x:v>
      </x:c>
    </x:row>
    <x:row r="15" ht="60" customHeight="1">
      <x:c r="A15" s="3" t="str">
        <x:v>TC-014</x:v>
      </x:c>
      <x:c r="B15" s="3" t="str">
        <x:v>Reject invalid card formats</x:v>
      </x:c>
      <x:c r="C15" s="3" t="str">
        <x:v>Negative</x:v>
      </x:c>
      <x:c r="D15" s="3" t="str">
        <x:v>UC-002</x:v>
      </x:c>
      <x:c r="E15" s="3" t="str">
        <x:v>Separately test card=abc, expiry=99/99, and CVC=abc, with remaining fields valid.</x:v>
      </x:c>
      <x:c r="F15" s="3" t="str">
        <x:v>Each malformed input is rejected.</x:v>
      </x:c>
      <x:c r="G15" s="3" t="str">
        <x:v>Fail</x:v>
      </x:c>
      <x:c r="H15" s="3" t="str">
        <x:v>Simulated payment accepted malformed card number, expiry, CVC and navigated to dashboard.</x:v>
      </x:c>
      <x:c r="I15" s="3" t="str">
        <x:v>TC-014.png</x:v>
      </x:c>
    </x:row>
    <x:row r="16" ht="60" customHeight="1">
      <x:c r="A16" s="3" t="str">
        <x:v>TC-015</x:v>
      </x:c>
      <x:c r="B16" s="3" t="str">
        <x:v>Reject a past tour date</x:v>
      </x:c>
      <x:c r="C16" s="3" t="str">
        <x:v>Negative</x:v>
      </x:c>
      <x:c r="D16" s="3" t="str">
        <x:v>UC-001</x:v>
      </x:c>
      <x:c r="E16" s="3" t="str">
        <x:v>Open booking with Dev Status logged in, enter date ten days ago, submit.</x:v>
      </x:c>
      <x:c r="F16" s="3" t="str">
        <x:v>Past date is rejected.</x:v>
      </x:c>
      <x:c r="G16" s="3" t="str">
        <x:v>Fail</x:v>
      </x:c>
      <x:c r="H16" s="3" t="str">
        <x:v>Booking accepted past date 2026-09-07 and navigated to checkout.</x:v>
      </x:c>
      <x:c r="I16" s="3" t="str">
        <x:v>TC-015.png</x:v>
      </x:c>
    </x:row>
    <x:row r="17" ht="60" customHeight="1">
      <x:c r="A17" s="3" t="str">
        <x:v>TC-016</x:v>
      </x:c>
      <x:c r="B17" s="3" t="str">
        <x:v>Admin route smoke tests</x:v>
      </x:c>
      <x:c r="C17" s="3" t="str">
        <x:v>New functional</x:v>
      </x:c>
      <x:c r="D17" s="3" t="str">
        <x:v>UC-004</x:v>
      </x:c>
      <x:c r="E17" s="3" t="str">
        <x:v>Open admin overview, quotation, clients, products and invoices.</x:v>
      </x:c>
      <x:c r="F17" s="3" t="str">
        <x:v>Each returns HTTP 200, has visible content and no page runtime error.</x:v>
      </x:c>
      <x:c r="G17" s="3" t="str">
        <x:v>Fail</x:v>
      </x:c>
      <x:c r="H17" s="3" t="str">
        <x:v>All five admin routes returned HTTP 200 and rendered content. /admin/quotation raised React #418 hydration error. Other four routes produced no page runtime error.</x:v>
      </x:c>
      <x:c r="I17" s="3" t="str">
        <x:v>admin-smoke.json; TC-016-quotation.png</x:v>
      </x:c>
    </x:row>
    <x:row r="18" ht="60" customHeight="1">
      <x:c r="A18" s="3" t="str">
        <x:v>TC-017</x:v>
      </x:c>
      <x:c r="B18" s="3" t="str">
        <x:v>Submit admin quotation and display record</x:v>
      </x:c>
      <x:c r="C18" s="3" t="str">
        <x:v>New functional</x:v>
      </x:c>
      <x:c r="D18" s="3" t="str">
        <x:v>UC-004</x:v>
      </x:c>
      <x:c r="E18" s="3" t="str">
        <x:v>Enter a unique client and look for quotation submission/record creation.</x:v>
      </x:c>
      <x:c r="F18" s="3" t="str">
        <x:v>Quotation submission creates an identifiable record.</x:v>
      </x:c>
      <x:c r="G18" s="3" t="str">
        <x:v>Fail</x:v>
      </x:c>
      <x:c r="H18" s="3" t="str">
        <x:v>No quotation submit/save control exists. Page provides a live preview, simulated PDF and send actions, but no record creation. Requirement inferred from original deck; confirm agreed scope.</x:v>
      </x:c>
      <x:c r="I18" s="3" t="str">
        <x:v>TC-017.png</x:v>
      </x:c>
    </x:row>
    <x:row r="19" ht="60" customHeight="1">
      <x:c r="A19" s="3" t="str">
        <x:v>TC-018</x:v>
      </x:c>
      <x:c r="B19" s="3" t="str">
        <x:v>Clean Windows dependency installation</x:v>
      </x:c>
      <x:c r="C19" s="3" t="str">
        <x:v>Setup</x:v>
      </x:c>
      <x:c r="D19" s="3" t="str">
        <x:v>Setup</x:v>
      </x:c>
      <x:c r="E19" s="3" t="str">
        <x:v>From no node_modules, run npm ci --no-audit --no-fund.</x:v>
      </x:c>
      <x:c r="F19" s="3" t="str">
        <x:v>Install succeeds without force or source changes.</x:v>
      </x:c>
      <x:c r="G19" s="3" t="str">
        <x:v>Fail</x:v>
      </x:c>
      <x:c r="H19" s="3" t="str">
        <x:v>npm ci exited 1 with EBADPLATFORM for @tailwindcss/oxide-linux-x64-gnu@4.3.3. npm ci --force was required to continue QA.</x:v>
      </x:c>
      <x:c r="I19" s="3" t="str">
        <x:v>clean-install.log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3" hidden="0" customWidth="1"/>
    <x:col min="4" max="4" width="22" hidden="0" customWidth="1"/>
    <x:col min="5" max="5" width="20" hidden="0" customWidth="1"/>
    <x:col min="6" max="6" width="53" hidden="0" customWidth="1"/>
    <x:col min="7" max="7" width="50" hidden="0" customWidth="1"/>
    <x:col min="8" max="8" width="70" hidden="0" customWidth="1"/>
    <x:col min="9" max="9" width="50" hidden="0" customWidth="1"/>
    <x:col min="10" max="10" width="62" hidden="0" customWidth="1"/>
    <x:col min="11" max="11" width="30" hidden="0" customWidth="1"/>
  </x:cols>
  <x:sheetData>
    <x:row r="1" ht="28" customHeight="1">
      <x:c r="A1" s="5" t="str">
        <x:v>ID</x:v>
      </x:c>
      <x:c r="B1" s="5" t="str">
        <x:v>Finding</x:v>
      </x:c>
      <x:c r="C1" s="5" t="str">
        <x:v>Severity</x:v>
      </x:c>
      <x:c r="D1" s="5" t="str">
        <x:v>Disposition</x:v>
      </x:c>
      <x:c r="E1" s="5" t="str">
        <x:v>Cases</x:v>
      </x:c>
      <x:c r="F1" s="5" t="str">
        <x:v>Reproduction</x:v>
      </x:c>
      <x:c r="G1" s="5" t="str">
        <x:v>Expected</x:v>
      </x:c>
      <x:c r="H1" s="5" t="str">
        <x:v>Actual</x:v>
      </x:c>
      <x:c r="I1" s="5" t="str">
        <x:v>Evidence</x:v>
      </x:c>
      <x:c r="J1" s="5" t="str">
        <x:v>Recommendation</x:v>
      </x:c>
      <x:c r="K1" s="5" t="str">
        <x:v>Owner</x:v>
      </x:c>
    </x:row>
    <x:row r="2" ht="70" customHeight="1">
      <x:c r="A2" s="3" t="str">
        <x:v>UC-002-BUG-001</x:v>
      </x:c>
      <x:c r="B2" s="3" t="str">
        <x:v>Invoice PDF export fails</x:v>
      </x:c>
      <x:c r="C2" s="3" t="str">
        <x:v>Medium</x:v>
      </x:c>
      <x:c r="D2" s="3" t="str">
        <x:v>Open</x:v>
      </x:c>
      <x:c r="E2" s="3" t="str">
        <x:v>TC-008R; TC-009</x:v>
      </x:c>
      <x:c r="F2" s="3" t="str">
        <x:v>Open dashboard and click Download PDF Invoice.</x:v>
      </x:c>
      <x:c r="G2" s="3" t="str">
        <x:v>A readable invoice PDF downloads.</x:v>
      </x:c>
      <x:c r="H2" s="3" t="str">
        <x:v>No file downloaded. Console reports unsupported color function "lab".</x:v>
      </x:c>
      <x:c r="I2" s="3" t="str">
        <x:v>TC-008R.png; console.json</x:v>
      </x:c>
      <x:c r="J2" s="3" t="str">
        <x:v>Make capture styles compatible or generate from data; retest file and contents.</x:v>
      </x:c>
      <x:c r="K2" s="3" t="str">
        <x:v>Development team; assignee pending</x:v>
      </x:c>
    </x:row>
    <x:row r="3" ht="70" customHeight="1">
      <x:c r="A3" s="3" t="str">
        <x:v>UC-003-BUG-001</x:v>
      </x:c>
      <x:c r="B3" s="3" t="str">
        <x:v>Checkout loses booking details and total</x:v>
      </x:c>
      <x:c r="C3" s="3" t="str">
        <x:v>High</x:v>
      </x:c>
      <x:c r="D3" s="3" t="str">
        <x:v>Open</x:v>
      </x:c>
      <x:c r="E3" s="3" t="str">
        <x:v>TC-010; TC-011</x:v>
      </x:c>
      <x:c r="F3" s="3" t="str">
        <x:v>Book Tour A for two guests with both add-ons, then continue.</x:v>
      </x:c>
      <x:c r="G3" s="3" t="str">
        <x:v>Checkout preserves two guests, date/contact and PHP 3,900.</x:v>
      </x:c>
      <x:c r="H3" s="3" t="str">
        <x:v>Checkout shows one guest, pending date and PHP 1,350. Contact absent.</x:v>
      </x:c>
      <x:c r="I3" s="3" t="str">
        <x:v>TC-005.png; TC-010.png; TC-011.png</x:v>
      </x:c>
      <x:c r="J3" s="3" t="str">
        <x:v>Pass actual booking state into checkout.</x:v>
      </x:c>
      <x:c r="K3" s="3" t="str">
        <x:v>Development team; assignee pending</x:v>
      </x:c>
    </x:row>
    <x:row r="4" ht="70" customHeight="1">
      <x:c r="A4" s="3" t="str">
        <x:v>UC-003-BUG-002</x:v>
      </x:c>
      <x:c r="B4" s="3" t="str">
        <x:v>Dashboard displays sample booking</x:v>
      </x:c>
      <x:c r="C4" s="3" t="str">
        <x:v>High</x:v>
      </x:c>
      <x:c r="D4" s="3" t="str">
        <x:v>Open</x:v>
      </x:c>
      <x:c r="E4" s="3" t="str">
        <x:v>TC-012</x:v>
      </x:c>
      <x:c r="F4" s="3" t="str">
        <x:v>Complete the same booking and simulated payment.</x:v>
      </x:c>
      <x:c r="G4" s="3" t="str">
        <x:v>Dashboard reflects the customer and PHP 3,900 booking.</x:v>
      </x:c>
      <x:c r="H4" s="3" t="str">
        <x:v>Dashboard shows Juan Dela Cruz, one guest, pending date and PHP 1,350.</x:v>
      </x:c>
      <x:c r="I4" s="3" t="str">
        <x:v>TC-012.png</x:v>
      </x:c>
      <x:c r="J4" s="3" t="str">
        <x:v>Render the actual booking and consistent status.</x:v>
      </x:c>
      <x:c r="K4" s="3" t="str">
        <x:v>Development team; assignee pending</x:v>
      </x:c>
    </x:row>
    <x:row r="5" ht="70" customHeight="1">
      <x:c r="A5" s="3" t="str">
        <x:v>UC-002-BUG-002</x:v>
      </x:c>
      <x:c r="B5" s="3" t="str">
        <x:v>Malformed card values produce simulated success</x:v>
      </x:c>
      <x:c r="C5" s="3" t="str">
        <x:v>High</x:v>
      </x:c>
      <x:c r="D5" s="3" t="str">
        <x:v>Open</x:v>
      </x:c>
      <x:c r="E5" s="3" t="str">
        <x:v>TC-014</x:v>
      </x:c>
      <x:c r="F5" s="3" t="str">
        <x:v>Separately use card abc, expiry 99/99 and CVC abc with other fields valid.</x:v>
      </x:c>
      <x:c r="G5" s="3" t="str">
        <x:v>Reject each invalid format.</x:v>
      </x:c>
      <x:c r="H5" s="3" t="str">
        <x:v>All three variants navigate to the confirmed dashboard. Empty fields ARE rejected.</x:v>
      </x:c>
      <x:c r="I5" s="3" t="str">
        <x:v>TC-014.png; TC-014-card-number-input.png; TC-014-expiry-input.png; TC-014-CVC-input.png</x:v>
      </x:c>
      <x:c r="J5" s="3" t="str">
        <x:v>Validate format and expiry; real gateway integration remains out of scope.</x:v>
      </x:c>
      <x:c r="K5" s="3" t="str">
        <x:v>Development team; assignee pending</x:v>
      </x:c>
    </x:row>
    <x:row r="6" ht="70" customHeight="1">
      <x:c r="A6" s="3" t="str">
        <x:v>OBS-001</x:v>
      </x:c>
      <x:c r="B6" s="3" t="str">
        <x:v>Unused Supabase integration</x:v>
      </x:c>
      <x:c r="C6" s="3" t="str">
        <x:v>Low</x:v>
      </x:c>
      <x:c r="D6" s="3" t="str">
        <x:v>Observation</x:v>
      </x:c>
      <x:c r="E6" s="3" t="str">
        <x:v>Static review</x:v>
      </x:c>
      <x:c r="F6" s="3" t="str">
        <x:v>Inspect lib/supabase.ts and imports.</x:v>
      </x:c>
      <x:c r="G6" s="3" t="str">
        <x:v>Configuration and integration requirements need agreement.</x:v>
      </x:c>
      <x:c r="H6" s="3" t="str">
        <x:v>Client exists but app does not import it. No active user-facing failure proven.</x:v>
      </x:c>
      <x:c r="I6" s="3" t="str">
        <x:v>lib/supabase.ts</x:v>
      </x:c>
      <x:c r="J6" s="3" t="str">
        <x:v>Confirm backend scope and validate configuration before integration.</x:v>
      </x:c>
      <x:c r="K6" s="3" t="str">
        <x:v>Development team; assignee pending</x:v>
      </x:c>
    </x:row>
    <x:row r="7" ht="70" customHeight="1">
      <x:c r="A7" s="3" t="str">
        <x:v>UC-001-BUG-001</x:v>
      </x:c>
      <x:c r="B7" s="3" t="str">
        <x:v>Past tour date accepted</x:v>
      </x:c>
      <x:c r="C7" s="3" t="str">
        <x:v>Medium</x:v>
      </x:c>
      <x:c r="D7" s="3" t="str">
        <x:v>Open</x:v>
      </x:c>
      <x:c r="E7" s="3" t="str">
        <x:v>TC-015</x:v>
      </x:c>
      <x:c r="F7" s="3" t="str">
        <x:v>Enter 2026-09-27 as a valid-date control; for negative test use date ten days before execution.</x:v>
      </x:c>
      <x:c r="G7" s="3" t="str">
        <x:v>Reject past dates before checkout.</x:v>
      </x:c>
      <x:c r="H7" s="3" t="str">
        <x:v>A date ten days before execution proceeds to checkout.</x:v>
      </x:c>
      <x:c r="I7" s="3" t="str">
        <x:v>TC-015-input.png; TC-015.png</x:v>
      </x:c>
      <x:c r="J7" s="3" t="str">
        <x:v>Apply agreed date/lead-time rules.</x:v>
      </x:c>
      <x:c r="K7" s="3" t="str">
        <x:v>Development team; assignee pending</x:v>
      </x:c>
    </x:row>
    <x:row r="8" ht="70" customHeight="1">
      <x:c r="A8" s="3" t="str">
        <x:v>SETUP-BUG-001</x:v>
      </x:c>
      <x:c r="B8" s="3" t="str">
        <x:v>Clean Windows install fails</x:v>
      </x:c>
      <x:c r="C8" s="3" t="str">
        <x:v>Medium</x:v>
      </x:c>
      <x:c r="D8" s="3" t="str">
        <x:v>Open</x:v>
      </x:c>
      <x:c r="E8" s="3" t="str">
        <x:v>TC-018</x:v>
      </x:c>
      <x:c r="F8" s="3" t="str">
        <x:v>Run npm ci from no node_modules on Windows x64.</x:v>
      </x:c>
      <x:c r="G8" s="3" t="str">
        <x:v>Install succeeds without force.</x:v>
      </x:c>
      <x:c r="H8" s="3" t="str">
        <x:v>EBADPLATFORM: Linux-only Tailwind native dependency. Forced install allowed QA to continue.</x:v>
      </x:c>
      <x:c r="I8" s="3" t="str">
        <x:v>clean-install.log; install-workaround.log</x:v>
      </x:c>
      <x:c r="J8" s="3" t="str">
        <x:v>Remove direct Linux dependency and regenerate/verify platform-safe lockfile.</x:v>
      </x:c>
      <x:c r="K8" s="3" t="str">
        <x:v>Development team; assignee pending</x:v>
      </x:c>
    </x:row>
    <x:row r="9" ht="70" customHeight="1">
      <x:c r="A9" s="3" t="str">
        <x:v>UC-004-BUG-001</x:v>
      </x:c>
      <x:c r="B9" s="3" t="str">
        <x:v>Quotation hydration runtime error</x:v>
      </x:c>
      <x:c r="C9" s="3" t="str">
        <x:v>Medium</x:v>
      </x:c>
      <x:c r="D9" s="3" t="str">
        <x:v>Open</x:v>
      </x:c>
      <x:c r="E9" s="3" t="str">
        <x:v>TC-016</x:v>
      </x:c>
      <x:c r="F9" s="3" t="str">
        <x:v>Open /admin/quotation in a fresh production-page load.</x:v>
      </x:c>
      <x:c r="G9" s="3" t="str">
        <x:v>Page loads without runtime errors.</x:v>
      </x:c>
      <x:c r="H9" s="3" t="str">
        <x:v>React error #418 occurs. Page recovers visibly. Math.random during render is a likely cause, also flagged by lint.</x:v>
      </x:c>
      <x:c r="I9" s="3" t="str">
        <x:v>admin-smoke.json; console.json; TC-016-quotation.png</x:v>
      </x:c>
      <x:c r="J9" s="3" t="str">
        <x:v>Use a stable reference identifier; retest initial page load.</x:v>
      </x:c>
      <x:c r="K9" s="3" t="str">
        <x:v>Development team; assignee pending</x:v>
      </x:c>
    </x:row>
    <x:row r="10" ht="70" customHeight="1">
      <x:c r="A10" s="3" t="str">
        <x:v>UC-004-SCOPE-001</x:v>
      </x:c>
      <x:c r="B10" s="3" t="str">
        <x:v>Quotation record submission is absent</x:v>
      </x:c>
      <x:c r="C10" s="3" t="str">
        <x:v>Medium</x:v>
      </x:c>
      <x:c r="D10" s="3" t="str">
        <x:v>Scope clarification</x:v>
      </x:c>
      <x:c r="E10" s="3" t="str">
        <x:v>TC-017</x:v>
      </x:c>
      <x:c r="F10" s="3" t="str">
        <x:v>Enter a unique client and inspect available actions.</x:v>
      </x:c>
      <x:c r="G10" s="3" t="str">
        <x:v>Original deck expects submission and a resulting quotation record.</x:v>
      </x:c>
      <x:c r="H10" s="3" t="str">
        <x:v>Live preview exists, but no submit/save record action. Fails the written case; requirement must be agreed.</x:v>
      </x:c>
      <x:c r="I10" s="3" t="str">
        <x:v>TC-017-filled.png</x:v>
      </x:c>
      <x:c r="J10" s="3" t="str">
        <x:v>Confirm whether record creation belongs in this iteration, then implement or explicitly rescope.</x:v>
      </x:c>
      <x:c r="K10" s="3" t="str">
        <x:v>Development team; assignee pending</x:v>
      </x:c>
    </x:row>
  </x:sheetData>
  <x:pageMargins left="0.7" right="0.7" top="0.75" bottom="0.75" header="0.3" footer="0.3"/>
</x:worksheet>
</file>